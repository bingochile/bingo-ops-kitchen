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cion" sheetId="1" state="visible" r:id="rId1"/>
    <sheet xmlns:r="http://schemas.openxmlformats.org/officeDocument/2006/relationships" name="Recetas" sheetId="2" state="visible" r:id="rId2"/>
    <sheet xmlns:r="http://schemas.openxmlformats.org/officeDocument/2006/relationships" name="Bodega" sheetId="3" state="visible" r:id="rId3"/>
    <sheet xmlns:r="http://schemas.openxmlformats.org/officeDocument/2006/relationships" name="Comp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Insumo</t>
        </is>
      </c>
      <c r="C1" t="inlineStr">
        <is>
          <t>Cantidad_por_plato</t>
        </is>
      </c>
      <c r="D1" t="inlineStr">
        <is>
          <t>Unidad</t>
        </is>
      </c>
    </row>
    <row r="2">
      <c r="A2" t="inlineStr">
        <is>
          <t>Ceviche Meraki</t>
        </is>
      </c>
      <c r="B2" t="inlineStr">
        <is>
          <t>Pescado</t>
        </is>
      </c>
      <c r="C2" t="n">
        <v>0.18</v>
      </c>
      <c r="D2" t="inlineStr">
        <is>
          <t>kg</t>
        </is>
      </c>
    </row>
    <row r="3">
      <c r="A3" t="inlineStr">
        <is>
          <t>Ceviche Meraki</t>
        </is>
      </c>
      <c r="B3" t="inlineStr">
        <is>
          <t>Limón</t>
        </is>
      </c>
      <c r="C3" t="n">
        <v>0.05</v>
      </c>
      <c r="D3" t="inlineStr">
        <is>
          <t>kg</t>
        </is>
      </c>
    </row>
    <row r="4">
      <c r="A4" t="inlineStr">
        <is>
          <t>Ceviche Meraki</t>
        </is>
      </c>
      <c r="B4" t="inlineStr">
        <is>
          <t>Cebolla</t>
        </is>
      </c>
      <c r="C4" t="n">
        <v>0.06</v>
      </c>
      <c r="D4" t="inlineStr">
        <is>
          <t>kg</t>
        </is>
      </c>
    </row>
    <row r="5">
      <c r="A5" t="inlineStr">
        <is>
          <t>Burger Luke</t>
        </is>
      </c>
      <c r="B5" t="inlineStr">
        <is>
          <t>Pan</t>
        </is>
      </c>
      <c r="C5" t="n">
        <v>1</v>
      </c>
      <c r="D5" t="inlineStr">
        <is>
          <t>un</t>
        </is>
      </c>
    </row>
    <row r="6">
      <c r="A6" t="inlineStr">
        <is>
          <t>Burger Luke</t>
        </is>
      </c>
      <c r="B6" t="inlineStr">
        <is>
          <t>Carne</t>
        </is>
      </c>
      <c r="C6" t="n">
        <v>0.15</v>
      </c>
      <c r="D6" t="inlineStr">
        <is>
          <t>kg</t>
        </is>
      </c>
    </row>
    <row r="7">
      <c r="A7" t="inlineStr">
        <is>
          <t>Burger Luke</t>
        </is>
      </c>
      <c r="B7" t="inlineStr">
        <is>
          <t>Queso</t>
        </is>
      </c>
      <c r="C7" t="n">
        <v>0.03</v>
      </c>
      <c r="D7" t="inlineStr">
        <is>
          <t>kg</t>
        </is>
      </c>
    </row>
    <row r="8">
      <c r="A8" t="inlineStr">
        <is>
          <t>Power Bowl</t>
        </is>
      </c>
      <c r="B8" t="inlineStr">
        <is>
          <t>Quinoa</t>
        </is>
      </c>
      <c r="C8" t="n">
        <v>0.12</v>
      </c>
      <c r="D8" t="inlineStr">
        <is>
          <t>kg</t>
        </is>
      </c>
    </row>
    <row r="9">
      <c r="A9" t="inlineStr">
        <is>
          <t>Power Bowl</t>
        </is>
      </c>
      <c r="B9" t="inlineStr">
        <is>
          <t>Verduras</t>
        </is>
      </c>
      <c r="C9" t="n">
        <v>0.1</v>
      </c>
      <c r="D9" t="inlineStr">
        <is>
          <t>kg</t>
        </is>
      </c>
    </row>
    <row r="10">
      <c r="A10" t="inlineStr">
        <is>
          <t>Power Bowl</t>
        </is>
      </c>
      <c r="B10" t="inlineStr">
        <is>
          <t>Proteína</t>
        </is>
      </c>
      <c r="C10" t="n">
        <v>0.1</v>
      </c>
      <c r="D10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Insumo</t>
        </is>
      </c>
      <c r="B1" t="inlineStr">
        <is>
          <t>Stock_actual</t>
        </is>
      </c>
      <c r="C1" t="inlineStr">
        <is>
          <t>Unidad</t>
        </is>
      </c>
    </row>
    <row r="2">
      <c r="A2" t="inlineStr">
        <is>
          <t>Pescado</t>
        </is>
      </c>
      <c r="B2" t="n">
        <v>3.5</v>
      </c>
      <c r="C2" t="inlineStr">
        <is>
          <t>kg</t>
        </is>
      </c>
    </row>
    <row r="3">
      <c r="A3" t="inlineStr">
        <is>
          <t>Limón</t>
        </is>
      </c>
      <c r="B3" t="n">
        <v>1.2</v>
      </c>
      <c r="C3" t="inlineStr">
        <is>
          <t>kg</t>
        </is>
      </c>
    </row>
    <row r="4">
      <c r="A4" t="inlineStr">
        <is>
          <t>Cebolla</t>
        </is>
      </c>
      <c r="B4" t="n">
        <v>2</v>
      </c>
      <c r="C4" t="inlineStr">
        <is>
          <t>kg</t>
        </is>
      </c>
    </row>
    <row r="5">
      <c r="A5" t="inlineStr">
        <is>
          <t>Pan</t>
        </is>
      </c>
      <c r="B5" t="n">
        <v>15</v>
      </c>
      <c r="C5" t="inlineStr">
        <is>
          <t>un</t>
        </is>
      </c>
    </row>
    <row r="6">
      <c r="A6" t="inlineStr">
        <is>
          <t>Carne</t>
        </is>
      </c>
      <c r="B6" t="n">
        <v>2.5</v>
      </c>
      <c r="C6" t="inlineStr">
        <is>
          <t>kg</t>
        </is>
      </c>
    </row>
    <row r="7">
      <c r="A7" t="inlineStr">
        <is>
          <t>Queso</t>
        </is>
      </c>
      <c r="B7" t="n">
        <v>0.8</v>
      </c>
      <c r="C7" t="inlineStr">
        <is>
          <t>kg</t>
        </is>
      </c>
    </row>
    <row r="8">
      <c r="A8" t="inlineStr">
        <is>
          <t>Quinoa</t>
        </is>
      </c>
      <c r="B8" t="n">
        <v>1.5</v>
      </c>
      <c r="C8" t="inlineStr">
        <is>
          <t>kg</t>
        </is>
      </c>
    </row>
    <row r="9">
      <c r="A9" t="inlineStr">
        <is>
          <t>Verduras</t>
        </is>
      </c>
      <c r="B9" t="n">
        <v>2</v>
      </c>
      <c r="C9" t="inlineStr">
        <is>
          <t>kg</t>
        </is>
      </c>
    </row>
    <row r="10">
      <c r="A10" t="inlineStr">
        <is>
          <t>Proteína</t>
        </is>
      </c>
      <c r="B10" t="n">
        <v>1.8</v>
      </c>
      <c r="C10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Insumo</t>
        </is>
      </c>
      <c r="B1" t="inlineStr">
        <is>
          <t>Necesario</t>
        </is>
      </c>
      <c r="C1" t="inlineStr">
        <is>
          <t>Stock</t>
        </is>
      </c>
      <c r="D1" t="inlineStr">
        <is>
          <t>Compra_final</t>
        </is>
      </c>
    </row>
    <row r="2">
      <c r="A2" t="inlineStr">
        <is>
          <t>Pescado</t>
        </is>
      </c>
      <c r="B2">
        <f>SUMPRODUCT((Recetas!$B$2:$B$200=A2)*(Recetas!$C$2:$C$200)*(SUMIF(Produccion!$B$2:$B$2000,Recetas!$A$2:$A$200,Produccion!$C$2:$C$2000)))</f>
        <v/>
      </c>
      <c r="C2">
        <f>IFERROR(VLOOKUP(A2,Bodega!$A$2:$C$100,2,FALSE),0)</f>
        <v/>
      </c>
      <c r="D2">
        <f>MAX(0,B2-C2)*1.1</f>
        <v/>
      </c>
    </row>
    <row r="3">
      <c r="A3" t="inlineStr">
        <is>
          <t>Limón</t>
        </is>
      </c>
      <c r="B3">
        <f>SUMPRODUCT((Recetas!$B$2:$B$200=A3)*(Recetas!$C$2:$C$200)*(SUMIF(Produccion!$B$2:$B$2000,Recetas!$A$2:$A$200,Produccion!$C$2:$C$2000)))</f>
        <v/>
      </c>
      <c r="C3">
        <f>IFERROR(VLOOKUP(A3,Bodega!$A$2:$C$100,2,FALSE),0)</f>
        <v/>
      </c>
      <c r="D3">
        <f>MAX(0,B3-C3)*1.1</f>
        <v/>
      </c>
    </row>
    <row r="4">
      <c r="A4" t="inlineStr">
        <is>
          <t>Cebolla</t>
        </is>
      </c>
      <c r="B4">
        <f>SUMPRODUCT((Recetas!$B$2:$B$200=A4)*(Recetas!$C$2:$C$200)*(SUMIF(Produccion!$B$2:$B$2000,Recetas!$A$2:$A$200,Produccion!$C$2:$C$2000)))</f>
        <v/>
      </c>
      <c r="C4">
        <f>IFERROR(VLOOKUP(A4,Bodega!$A$2:$C$100,2,FALSE),0)</f>
        <v/>
      </c>
      <c r="D4">
        <f>MAX(0,B4-C4)*1.1</f>
        <v/>
      </c>
    </row>
    <row r="5">
      <c r="A5" t="inlineStr">
        <is>
          <t>Pan</t>
        </is>
      </c>
      <c r="B5">
        <f>SUMPRODUCT((Recetas!$B$2:$B$200=A5)*(Recetas!$C$2:$C$200)*(SUMIF(Produccion!$B$2:$B$2000,Recetas!$A$2:$A$200,Produccion!$C$2:$C$2000)))</f>
        <v/>
      </c>
      <c r="C5">
        <f>IFERROR(VLOOKUP(A5,Bodega!$A$2:$C$100,2,FALSE),0)</f>
        <v/>
      </c>
      <c r="D5">
        <f>MAX(0,B5-C5)*1.1</f>
        <v/>
      </c>
    </row>
    <row r="6">
      <c r="A6" t="inlineStr">
        <is>
          <t>Carne</t>
        </is>
      </c>
      <c r="B6">
        <f>SUMPRODUCT((Recetas!$B$2:$B$200=A6)*(Recetas!$C$2:$C$200)*(SUMIF(Produccion!$B$2:$B$2000,Recetas!$A$2:$A$200,Produccion!$C$2:$C$2000)))</f>
        <v/>
      </c>
      <c r="C6">
        <f>IFERROR(VLOOKUP(A6,Bodega!$A$2:$C$100,2,FALSE),0)</f>
        <v/>
      </c>
      <c r="D6">
        <f>MAX(0,B6-C6)*1.1</f>
        <v/>
      </c>
    </row>
    <row r="7">
      <c r="A7" t="inlineStr">
        <is>
          <t>Queso</t>
        </is>
      </c>
      <c r="B7">
        <f>SUMPRODUCT((Recetas!$B$2:$B$200=A7)*(Recetas!$C$2:$C$200)*(SUMIF(Produccion!$B$2:$B$2000,Recetas!$A$2:$A$200,Produccion!$C$2:$C$2000)))</f>
        <v/>
      </c>
      <c r="C7">
        <f>IFERROR(VLOOKUP(A7,Bodega!$A$2:$C$100,2,FALSE),0)</f>
        <v/>
      </c>
      <c r="D7">
        <f>MAX(0,B7-C7)*1.1</f>
        <v/>
      </c>
    </row>
    <row r="8">
      <c r="A8" t="inlineStr">
        <is>
          <t>Quinoa</t>
        </is>
      </c>
      <c r="B8">
        <f>SUMPRODUCT((Recetas!$B$2:$B$200=A8)*(Recetas!$C$2:$C$200)*(SUMIF(Produccion!$B$2:$B$2000,Recetas!$A$2:$A$200,Produccion!$C$2:$C$2000)))</f>
        <v/>
      </c>
      <c r="C8">
        <f>IFERROR(VLOOKUP(A8,Bodega!$A$2:$C$100,2,FALSE),0)</f>
        <v/>
      </c>
      <c r="D8">
        <f>MAX(0,B8-C8)*1.1</f>
        <v/>
      </c>
    </row>
    <row r="9">
      <c r="A9" t="inlineStr">
        <is>
          <t>Verduras</t>
        </is>
      </c>
      <c r="B9">
        <f>SUMPRODUCT((Recetas!$B$2:$B$200=A9)*(Recetas!$C$2:$C$200)*(SUMIF(Produccion!$B$2:$B$2000,Recetas!$A$2:$A$200,Produccion!$C$2:$C$2000)))</f>
        <v/>
      </c>
      <c r="C9">
        <f>IFERROR(VLOOKUP(A9,Bodega!$A$2:$C$100,2,FALSE),0)</f>
        <v/>
      </c>
      <c r="D9">
        <f>MAX(0,B9-C9)*1.1</f>
        <v/>
      </c>
    </row>
    <row r="10">
      <c r="A10" t="inlineStr">
        <is>
          <t>Proteína</t>
        </is>
      </c>
      <c r="B10">
        <f>SUMPRODUCT((Recetas!$B$2:$B$200=A10)*(Recetas!$C$2:$C$200)*(SUMIF(Produccion!$B$2:$B$2000,Recetas!$A$2:$A$200,Produccion!$C$2:$C$2000)))</f>
        <v/>
      </c>
      <c r="C10">
        <f>IFERROR(VLOOKUP(A10,Bodega!$A$2:$C$100,2,FALSE),0)</f>
        <v/>
      </c>
      <c r="D10">
        <f>MAX(0,B10-C10)*1.1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2026-04-28T14:21:49Z</dcterms:created>
  <dcterms:modified xmlns:dcterms="http://purl.org/dc/terms/" xmlns:xsi="http://www.w3.org/2001/XMLSchema-instance" xsi:type="dcterms:W3CDTF">2026-04-28T14:21:49Z</dcterms:modified>
</cp:coreProperties>
</file>